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81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\\eistore3\dept-tic\Secrétariat_TIC\2023-2024\Bachelor\TB\informations\"/>
    </mc:Choice>
  </mc:AlternateContent>
  <xr:revisionPtr revIDLastSave="0" documentId="8_{FDE2D9AC-31C7-4D80-AC52-B92EBF68246E}" xr6:coauthVersionLast="47" xr6:coauthVersionMax="47" xr10:uidLastSave="{00000000-0000-0000-0000-000000000000}"/>
  <bookViews>
    <workbookView xWindow="28680" yWindow="-120" windowWidth="29040" windowHeight="17640" xr2:uid="{00000000-000D-0000-FFFF-FFFF00000000}"/>
  </bookViews>
  <sheets>
    <sheet name="modèle" sheetId="1" r:id="rId1"/>
  </sheets>
  <definedNames>
    <definedName name="_xlnm.Print_Area" localSheetId="0">modèle!$A$1:$R$55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16" i="1" l="1"/>
  <c r="Q19" i="1"/>
  <c r="Q21" i="1"/>
  <c r="Q23" i="1"/>
  <c r="Q25" i="1"/>
  <c r="L28" i="1"/>
  <c r="Q28" i="1" l="1"/>
  <c r="Q29" i="1" s="1"/>
</calcChain>
</file>

<file path=xl/sharedStrings.xml><?xml version="1.0" encoding="utf-8"?>
<sst xmlns="http://schemas.openxmlformats.org/spreadsheetml/2006/main" count="34" uniqueCount="32">
  <si>
    <t>Département TIC</t>
  </si>
  <si>
    <t>É V A L U A T I O N   D U   T R A V A I L   D E   BACHELOR</t>
  </si>
  <si>
    <t>Etudiant :</t>
  </si>
  <si>
    <t>Titre :</t>
  </si>
  <si>
    <t xml:space="preserve">Professeur : </t>
  </si>
  <si>
    <t>Expert :</t>
  </si>
  <si>
    <t>Critères d'évaluation</t>
  </si>
  <si>
    <r>
      <t xml:space="preserve">Pondération
globale
</t>
    </r>
    <r>
      <rPr>
        <sz val="8"/>
        <color indexed="12"/>
        <rFont val="Arial"/>
        <family val="2"/>
      </rPr>
      <t>(%min)</t>
    </r>
  </si>
  <si>
    <t>Professeur</t>
  </si>
  <si>
    <t>Expert</t>
  </si>
  <si>
    <t>Note finale</t>
  </si>
  <si>
    <t>(toutes les notes au dixième de point)</t>
  </si>
  <si>
    <t>Evaluation intermédiaire</t>
  </si>
  <si>
    <t>1. Qualité de la revue de projet et/ou du rapport intermédiaire (état du projet, décomposition, évaluation comparative des solutions, spécifications détaillées, planification, organisation de la documentation)</t>
  </si>
  <si>
    <t>min. 10%</t>
  </si>
  <si>
    <t>Evaluation en fin de projet</t>
  </si>
  <si>
    <t>2. Déroulement et apport personnel (gestion du temps et des imprévus, indépendance, initiative, assiduité)</t>
  </si>
  <si>
    <t>min. 15%</t>
  </si>
  <si>
    <t>3. Qualité du rapport final et de la documentation (exhaustivité des informations, clarté de rédaction et de présentation, synthèse)</t>
  </si>
  <si>
    <t>4. Qualité de travail (respect du cahier des charges et de la planification, pertinence technique et scientifique des résultats obtenus, innovation et créativité, tests)</t>
  </si>
  <si>
    <t>min. 20%</t>
  </si>
  <si>
    <t>5. Qualité de la défense (connaissance du sujet et du domaine concerné, clarté, qualité du support visuel, capacité de vulgarisation, conviction, pertinence du propos)</t>
  </si>
  <si>
    <t xml:space="preserve">    E v a l u a t i o n   g l o b a l e (calcul automatique)</t>
  </si>
  <si>
    <t>non</t>
  </si>
  <si>
    <t xml:space="preserve">   E v a l u a t i o n   d é f i n i t i v e (arrondi au 1/10)</t>
  </si>
  <si>
    <t>ü</t>
  </si>
  <si>
    <t>Remarques éventuelles ou justification en cas d'échec ou de divergences graves entre l'enseignant responsable et l'expert</t>
  </si>
  <si>
    <t>Date et signature du professeur :</t>
  </si>
  <si>
    <t>Date et signature de l'expert :</t>
  </si>
  <si>
    <t>L'expert et l'enseignant donnent une note commune au travail de bachelor.</t>
  </si>
  <si>
    <t>Les critères retenus et la dotation en % sont indiqués sous chiffres 1 à 5.</t>
  </si>
  <si>
    <t>A la fin de la défense, cette feuille d'évaluation doit être complétée, signée et retournée au secrétariat 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</si>
</sst>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"/>
  </numFmts>
  <fonts count="26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name val="Arial Unicode MS"/>
      <family val="2"/>
    </font>
    <font>
      <sz val="14"/>
      <name val="Arial"/>
      <family val="2"/>
    </font>
    <font>
      <sz val="9"/>
      <color indexed="48"/>
      <name val="Arial"/>
      <family val="2"/>
    </font>
    <font>
      <b/>
      <sz val="16"/>
      <color indexed="48"/>
      <name val="Arial"/>
      <family val="2"/>
    </font>
    <font>
      <i/>
      <sz val="12"/>
      <name val="Lucida Handwriting"/>
      <family val="4"/>
    </font>
    <font>
      <i/>
      <sz val="9"/>
      <name val="Arial"/>
      <family val="2"/>
    </font>
    <font>
      <b/>
      <i/>
      <sz val="9"/>
      <color indexed="48"/>
      <name val="Arial"/>
      <family val="2"/>
    </font>
    <font>
      <b/>
      <sz val="10"/>
      <color indexed="8"/>
      <name val="Arial"/>
      <family val="2"/>
    </font>
    <font>
      <sz val="8"/>
      <color indexed="12"/>
      <name val="Arial"/>
      <family val="2"/>
    </font>
    <font>
      <sz val="7"/>
      <name val="Arial"/>
      <family val="2"/>
    </font>
    <font>
      <sz val="8"/>
      <name val="Arial"/>
      <family val="2"/>
    </font>
    <font>
      <b/>
      <sz val="14"/>
      <name val="Arial"/>
      <family val="2"/>
    </font>
    <font>
      <sz val="24"/>
      <name val="Wingdings"/>
      <charset val="2"/>
    </font>
    <font>
      <u/>
      <sz val="11"/>
      <color theme="10"/>
      <name val="Calibri"/>
      <family val="2"/>
    </font>
    <font>
      <sz val="11"/>
      <color rgb="FF000000"/>
      <name val="Calibri"/>
      <family val="2"/>
    </font>
    <font>
      <sz val="10"/>
      <color theme="0"/>
      <name val="Arial"/>
      <family val="2"/>
    </font>
    <font>
      <sz val="14"/>
      <color theme="0"/>
      <name val="Webdings"/>
      <family val="1"/>
      <charset val="2"/>
    </font>
    <font>
      <sz val="7"/>
      <color rgb="FF0000FF"/>
      <name val="Arial"/>
      <family val="2"/>
    </font>
    <font>
      <i/>
      <sz val="12"/>
      <color rgb="FFFF0000"/>
      <name val="Arial"/>
      <family val="2"/>
    </font>
    <font>
      <b/>
      <sz val="11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9" fillId="0" borderId="0" applyNumberFormat="0" applyFill="0" applyBorder="0" applyAlignment="0" applyProtection="0">
      <alignment vertical="top"/>
      <protection locked="0"/>
    </xf>
    <xf numFmtId="0" fontId="20" fillId="0" borderId="0"/>
  </cellStyleXfs>
  <cellXfs count="150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1" fillId="0" borderId="3" xfId="0" applyFont="1" applyBorder="1" applyAlignment="1">
      <alignment horizontal="left" vertical="center" wrapText="1" indent="1"/>
    </xf>
    <xf numFmtId="0" fontId="1" fillId="0" borderId="5" xfId="0" applyFont="1" applyBorder="1" applyAlignment="1">
      <alignment horizontal="left" vertical="center" wrapText="1" indent="1"/>
    </xf>
    <xf numFmtId="2" fontId="4" fillId="0" borderId="6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5" fillId="3" borderId="0" xfId="0" applyFont="1" applyFill="1" applyAlignment="1">
      <alignment horizontal="left" vertical="center" wrapText="1"/>
    </xf>
    <xf numFmtId="164" fontId="10" fillId="3" borderId="0" xfId="0" applyNumberFormat="1" applyFont="1" applyFill="1" applyAlignment="1">
      <alignment horizontal="center" vertical="center"/>
    </xf>
    <xf numFmtId="0" fontId="18" fillId="3" borderId="0" xfId="0" applyFont="1" applyFill="1" applyAlignment="1">
      <alignment vertical="center" wrapText="1"/>
    </xf>
    <xf numFmtId="0" fontId="7" fillId="3" borderId="0" xfId="0" applyFont="1" applyFill="1" applyAlignment="1">
      <alignment vertical="center"/>
    </xf>
    <xf numFmtId="0" fontId="3" fillId="3" borderId="0" xfId="0" applyFont="1" applyFill="1"/>
    <xf numFmtId="0" fontId="5" fillId="3" borderId="0" xfId="0" applyFont="1" applyFill="1" applyAlignment="1">
      <alignment horizontal="center"/>
    </xf>
    <xf numFmtId="0" fontId="0" fillId="3" borderId="0" xfId="0" applyFill="1"/>
    <xf numFmtId="0" fontId="4" fillId="3" borderId="0" xfId="0" applyFont="1" applyFill="1" applyAlignment="1">
      <alignment horizontal="center"/>
    </xf>
    <xf numFmtId="164" fontId="0" fillId="3" borderId="0" xfId="0" applyNumberFormat="1" applyFill="1" applyAlignment="1">
      <alignment horizontal="left"/>
    </xf>
    <xf numFmtId="164" fontId="0" fillId="3" borderId="0" xfId="0" applyNumberFormat="1" applyFill="1" applyAlignment="1">
      <alignment horizontal="right"/>
    </xf>
    <xf numFmtId="164" fontId="0" fillId="3" borderId="0" xfId="0" applyNumberFormat="1" applyFill="1"/>
    <xf numFmtId="0" fontId="2" fillId="3" borderId="0" xfId="0" applyFont="1" applyFill="1"/>
    <xf numFmtId="0" fontId="0" fillId="3" borderId="0" xfId="0" applyFill="1" applyAlignment="1">
      <alignment vertical="center"/>
    </xf>
    <xf numFmtId="0" fontId="0" fillId="3" borderId="0" xfId="0" applyFill="1" applyAlignment="1">
      <alignment horizontal="left" vertical="center"/>
    </xf>
    <xf numFmtId="0" fontId="3" fillId="3" borderId="0" xfId="0" applyFont="1" applyFill="1" applyAlignment="1">
      <alignment vertical="center"/>
    </xf>
    <xf numFmtId="0" fontId="11" fillId="3" borderId="0" xfId="0" applyFont="1" applyFill="1" applyAlignment="1">
      <alignment vertical="center"/>
    </xf>
    <xf numFmtId="0" fontId="21" fillId="3" borderId="0" xfId="0" applyFont="1" applyFill="1" applyAlignment="1">
      <alignment vertical="center"/>
    </xf>
    <xf numFmtId="0" fontId="22" fillId="3" borderId="0" xfId="0" applyFont="1" applyFill="1" applyAlignment="1">
      <alignment vertical="center"/>
    </xf>
    <xf numFmtId="0" fontId="0" fillId="3" borderId="0" xfId="0" applyFill="1" applyAlignment="1">
      <alignment wrapText="1"/>
    </xf>
    <xf numFmtId="0" fontId="0" fillId="3" borderId="8" xfId="0" applyFill="1" applyBorder="1" applyAlignment="1">
      <alignment vertical="center"/>
    </xf>
    <xf numFmtId="0" fontId="0" fillId="3" borderId="9" xfId="0" applyFill="1" applyBorder="1" applyAlignment="1">
      <alignment vertical="center"/>
    </xf>
    <xf numFmtId="0" fontId="4" fillId="3" borderId="9" xfId="0" applyFont="1" applyFill="1" applyBorder="1" applyAlignment="1">
      <alignment horizontal="center"/>
    </xf>
    <xf numFmtId="0" fontId="0" fillId="3" borderId="10" xfId="0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11" xfId="0" applyFill="1" applyBorder="1" applyAlignment="1">
      <alignment horizontal="right" vertical="center"/>
    </xf>
    <xf numFmtId="0" fontId="0" fillId="3" borderId="12" xfId="0" applyFill="1" applyBorder="1" applyAlignment="1">
      <alignment vertical="center"/>
    </xf>
    <xf numFmtId="0" fontId="0" fillId="3" borderId="13" xfId="0" applyFill="1" applyBorder="1" applyAlignment="1">
      <alignment vertical="center"/>
    </xf>
    <xf numFmtId="0" fontId="4" fillId="3" borderId="13" xfId="0" applyFont="1" applyFill="1" applyBorder="1" applyAlignment="1">
      <alignment horizontal="center"/>
    </xf>
    <xf numFmtId="0" fontId="0" fillId="3" borderId="14" xfId="0" applyFill="1" applyBorder="1" applyAlignment="1">
      <alignment vertical="center"/>
    </xf>
    <xf numFmtId="0" fontId="0" fillId="3" borderId="15" xfId="0" applyFill="1" applyBorder="1" applyAlignment="1">
      <alignment vertical="center"/>
    </xf>
    <xf numFmtId="0" fontId="4" fillId="3" borderId="15" xfId="0" applyFont="1" applyFill="1" applyBorder="1" applyAlignment="1">
      <alignment horizontal="center"/>
    </xf>
    <xf numFmtId="0" fontId="0" fillId="3" borderId="16" xfId="0" applyFill="1" applyBorder="1" applyAlignment="1">
      <alignment vertical="center"/>
    </xf>
    <xf numFmtId="0" fontId="12" fillId="3" borderId="8" xfId="0" applyFont="1" applyFill="1" applyBorder="1" applyAlignment="1">
      <alignment horizontal="center" vertical="center" wrapText="1"/>
    </xf>
    <xf numFmtId="0" fontId="12" fillId="3" borderId="9" xfId="0" applyFont="1" applyFill="1" applyBorder="1" applyAlignment="1">
      <alignment horizontal="center" vertical="center" wrapText="1"/>
    </xf>
    <xf numFmtId="0" fontId="11" fillId="3" borderId="9" xfId="0" applyFont="1" applyFill="1" applyBorder="1" applyAlignment="1">
      <alignment horizontal="center"/>
    </xf>
    <xf numFmtId="0" fontId="12" fillId="3" borderId="12" xfId="0" applyFont="1" applyFill="1" applyBorder="1" applyAlignment="1">
      <alignment horizontal="center" vertical="center" wrapText="1"/>
    </xf>
    <xf numFmtId="0" fontId="12" fillId="3" borderId="13" xfId="0" applyFont="1" applyFill="1" applyBorder="1" applyAlignment="1">
      <alignment horizontal="center" vertical="center" wrapText="1"/>
    </xf>
    <xf numFmtId="0" fontId="11" fillId="3" borderId="1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 vertical="center" wrapText="1" indent="1"/>
    </xf>
    <xf numFmtId="0" fontId="1" fillId="3" borderId="0" xfId="0" applyFont="1" applyFill="1" applyAlignment="1">
      <alignment horizontal="left" vertical="center" wrapText="1" indent="1"/>
    </xf>
    <xf numFmtId="0" fontId="5" fillId="3" borderId="0" xfId="0" applyFont="1" applyFill="1" applyAlignment="1">
      <alignment horizontal="center" wrapText="1"/>
    </xf>
    <xf numFmtId="0" fontId="4" fillId="3" borderId="17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wrapText="1"/>
    </xf>
    <xf numFmtId="0" fontId="16" fillId="3" borderId="14" xfId="0" applyFont="1" applyFill="1" applyBorder="1" applyAlignment="1">
      <alignment horizontal="center" wrapText="1"/>
    </xf>
    <xf numFmtId="0" fontId="5" fillId="3" borderId="14" xfId="0" applyFont="1" applyFill="1" applyBorder="1" applyAlignment="1">
      <alignment horizontal="center" wrapText="1"/>
    </xf>
    <xf numFmtId="0" fontId="9" fillId="3" borderId="10" xfId="0" applyFont="1" applyFill="1" applyBorder="1" applyAlignment="1">
      <alignment horizontal="center" wrapText="1"/>
    </xf>
    <xf numFmtId="0" fontId="5" fillId="3" borderId="11" xfId="0" applyFont="1" applyFill="1" applyBorder="1" applyAlignment="1">
      <alignment horizontal="center" wrapText="1"/>
    </xf>
    <xf numFmtId="0" fontId="5" fillId="3" borderId="5" xfId="0" applyFont="1" applyFill="1" applyBorder="1" applyAlignment="1">
      <alignment horizontal="center" wrapText="1"/>
    </xf>
    <xf numFmtId="0" fontId="15" fillId="3" borderId="5" xfId="0" applyFont="1" applyFill="1" applyBorder="1" applyAlignment="1">
      <alignment horizontal="center" vertical="center"/>
    </xf>
    <xf numFmtId="164" fontId="4" fillId="3" borderId="5" xfId="0" applyNumberFormat="1" applyFont="1" applyFill="1" applyBorder="1" applyAlignment="1">
      <alignment horizontal="center" vertical="center" wrapText="1"/>
    </xf>
    <xf numFmtId="164" fontId="4" fillId="3" borderId="17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vertical="center" wrapText="1"/>
    </xf>
    <xf numFmtId="0" fontId="2" fillId="3" borderId="20" xfId="0" applyFont="1" applyFill="1" applyBorder="1" applyProtection="1">
      <protection locked="0"/>
    </xf>
    <xf numFmtId="0" fontId="4" fillId="3" borderId="20" xfId="0" applyFont="1" applyFill="1" applyBorder="1" applyAlignment="1" applyProtection="1">
      <alignment horizontal="center"/>
      <protection locked="0"/>
    </xf>
    <xf numFmtId="0" fontId="0" fillId="3" borderId="20" xfId="0" applyFill="1" applyBorder="1" applyProtection="1">
      <protection locked="0"/>
    </xf>
    <xf numFmtId="0" fontId="1" fillId="3" borderId="11" xfId="0" applyFont="1" applyFill="1" applyBorder="1" applyAlignment="1">
      <alignment horizontal="right" vertical="center"/>
    </xf>
    <xf numFmtId="0" fontId="0" fillId="3" borderId="8" xfId="0" applyFill="1" applyBorder="1"/>
    <xf numFmtId="0" fontId="0" fillId="3" borderId="9" xfId="0" applyFill="1" applyBorder="1"/>
    <xf numFmtId="164" fontId="0" fillId="3" borderId="9" xfId="0" applyNumberFormat="1" applyFill="1" applyBorder="1" applyAlignment="1">
      <alignment horizontal="right"/>
    </xf>
    <xf numFmtId="164" fontId="0" fillId="3" borderId="9" xfId="0" applyNumberFormat="1" applyFill="1" applyBorder="1"/>
    <xf numFmtId="164" fontId="0" fillId="3" borderId="9" xfId="0" applyNumberFormat="1" applyFill="1" applyBorder="1" applyAlignment="1">
      <alignment horizontal="left"/>
    </xf>
    <xf numFmtId="0" fontId="0" fillId="3" borderId="10" xfId="0" applyFill="1" applyBorder="1"/>
    <xf numFmtId="0" fontId="0" fillId="3" borderId="1" xfId="0" applyFill="1" applyBorder="1"/>
    <xf numFmtId="0" fontId="0" fillId="3" borderId="11" xfId="0" applyFill="1" applyBorder="1"/>
    <xf numFmtId="164" fontId="8" fillId="0" borderId="0" xfId="0" applyNumberFormat="1" applyFont="1" applyAlignment="1">
      <alignment horizontal="left" wrapText="1"/>
    </xf>
    <xf numFmtId="2" fontId="10" fillId="0" borderId="2" xfId="0" applyNumberFormat="1" applyFont="1" applyBorder="1" applyAlignment="1">
      <alignment horizontal="center" vertical="center"/>
    </xf>
    <xf numFmtId="14" fontId="1" fillId="3" borderId="21" xfId="0" applyNumberFormat="1" applyFont="1" applyFill="1" applyBorder="1" applyAlignment="1">
      <alignment horizontal="center" vertical="center" shrinkToFit="1"/>
    </xf>
    <xf numFmtId="14" fontId="1" fillId="3" borderId="7" xfId="0" applyNumberFormat="1" applyFont="1" applyFill="1" applyBorder="1" applyAlignment="1">
      <alignment horizontal="center" vertical="center" shrinkToFit="1"/>
    </xf>
    <xf numFmtId="9" fontId="21" fillId="2" borderId="3" xfId="0" applyNumberFormat="1" applyFont="1" applyFill="1" applyBorder="1" applyAlignment="1">
      <alignment horizontal="center" vertical="center" wrapText="1"/>
    </xf>
    <xf numFmtId="9" fontId="21" fillId="2" borderId="17" xfId="0" applyNumberFormat="1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 wrapText="1"/>
    </xf>
    <xf numFmtId="164" fontId="4" fillId="6" borderId="8" xfId="0" applyNumberFormat="1" applyFont="1" applyFill="1" applyBorder="1" applyAlignment="1" applyProtection="1">
      <alignment horizontal="center" vertical="center" wrapText="1"/>
      <protection locked="0"/>
    </xf>
    <xf numFmtId="164" fontId="4" fillId="6" borderId="10" xfId="0" applyNumberFormat="1" applyFont="1" applyFill="1" applyBorder="1" applyAlignment="1" applyProtection="1">
      <alignment horizontal="center" vertical="center" wrapText="1"/>
      <protection locked="0"/>
    </xf>
    <xf numFmtId="164" fontId="4" fillId="6" borderId="12" xfId="0" applyNumberFormat="1" applyFont="1" applyFill="1" applyBorder="1" applyAlignment="1" applyProtection="1">
      <alignment horizontal="center" vertical="center" wrapText="1"/>
      <protection locked="0"/>
    </xf>
    <xf numFmtId="164" fontId="4" fillId="6" borderId="14" xfId="0" applyNumberFormat="1" applyFont="1" applyFill="1" applyBorder="1" applyAlignment="1" applyProtection="1">
      <alignment horizontal="center" vertical="center" wrapText="1"/>
      <protection locked="0"/>
    </xf>
    <xf numFmtId="164" fontId="4" fillId="5" borderId="8" xfId="0" applyNumberFormat="1" applyFont="1" applyFill="1" applyBorder="1" applyAlignment="1" applyProtection="1">
      <alignment horizontal="center" vertical="center" wrapText="1"/>
      <protection locked="0"/>
    </xf>
    <xf numFmtId="164" fontId="4" fillId="5" borderId="10" xfId="0" applyNumberFormat="1" applyFont="1" applyFill="1" applyBorder="1" applyAlignment="1" applyProtection="1">
      <alignment horizontal="center" vertical="center" wrapText="1"/>
      <protection locked="0"/>
    </xf>
    <xf numFmtId="164" fontId="4" fillId="5" borderId="12" xfId="0" applyNumberFormat="1" applyFont="1" applyFill="1" applyBorder="1" applyAlignment="1" applyProtection="1">
      <alignment horizontal="center" vertical="center" wrapText="1"/>
      <protection locked="0"/>
    </xf>
    <xf numFmtId="164" fontId="4" fillId="5" borderId="14" xfId="0" applyNumberFormat="1" applyFont="1" applyFill="1" applyBorder="1" applyAlignment="1" applyProtection="1">
      <alignment horizontal="center" vertical="center" wrapText="1"/>
      <protection locked="0"/>
    </xf>
    <xf numFmtId="9" fontId="2" fillId="5" borderId="8" xfId="0" applyNumberFormat="1" applyFont="1" applyFill="1" applyBorder="1" applyAlignment="1" applyProtection="1">
      <alignment horizontal="center" vertical="center"/>
      <protection locked="0"/>
    </xf>
    <xf numFmtId="9" fontId="2" fillId="5" borderId="10" xfId="0" applyNumberFormat="1" applyFont="1" applyFill="1" applyBorder="1" applyAlignment="1" applyProtection="1">
      <alignment horizontal="center" vertical="center"/>
      <protection locked="0"/>
    </xf>
    <xf numFmtId="9" fontId="23" fillId="5" borderId="12" xfId="0" applyNumberFormat="1" applyFont="1" applyFill="1" applyBorder="1" applyAlignment="1">
      <alignment horizontal="center" vertical="center"/>
    </xf>
    <xf numFmtId="9" fontId="23" fillId="5" borderId="14" xfId="0" applyNumberFormat="1" applyFont="1" applyFill="1" applyBorder="1" applyAlignment="1">
      <alignment horizontal="center" vertical="center"/>
    </xf>
    <xf numFmtId="164" fontId="4" fillId="4" borderId="19" xfId="0" applyNumberFormat="1" applyFont="1" applyFill="1" applyBorder="1" applyAlignment="1" applyProtection="1">
      <alignment horizontal="center" vertical="center" wrapText="1"/>
      <protection locked="0"/>
    </xf>
    <xf numFmtId="164" fontId="4" fillId="4" borderId="18" xfId="0" applyNumberFormat="1" applyFont="1" applyFill="1" applyBorder="1" applyAlignment="1" applyProtection="1">
      <alignment horizontal="center" vertical="center" wrapText="1"/>
      <protection locked="0"/>
    </xf>
    <xf numFmtId="9" fontId="23" fillId="6" borderId="12" xfId="0" applyNumberFormat="1" applyFont="1" applyFill="1" applyBorder="1" applyAlignment="1">
      <alignment horizontal="center" vertical="center"/>
    </xf>
    <xf numFmtId="9" fontId="23" fillId="6" borderId="14" xfId="0" applyNumberFormat="1" applyFont="1" applyFill="1" applyBorder="1" applyAlignment="1">
      <alignment horizontal="center" vertical="center"/>
    </xf>
    <xf numFmtId="0" fontId="11" fillId="6" borderId="3" xfId="0" applyFont="1" applyFill="1" applyBorder="1" applyAlignment="1">
      <alignment horizontal="left" vertical="center" wrapText="1"/>
    </xf>
    <xf numFmtId="0" fontId="11" fillId="6" borderId="5" xfId="0" applyFont="1" applyFill="1" applyBorder="1" applyAlignment="1">
      <alignment horizontal="left" vertical="center" wrapText="1"/>
    </xf>
    <xf numFmtId="0" fontId="11" fillId="6" borderId="17" xfId="0" applyFont="1" applyFill="1" applyBorder="1" applyAlignment="1">
      <alignment horizontal="left" vertical="center" wrapText="1"/>
    </xf>
    <xf numFmtId="0" fontId="11" fillId="5" borderId="5" xfId="0" applyFont="1" applyFill="1" applyBorder="1" applyAlignment="1">
      <alignment horizontal="left" vertical="center" wrapText="1"/>
    </xf>
    <xf numFmtId="0" fontId="11" fillId="5" borderId="17" xfId="0" applyFont="1" applyFill="1" applyBorder="1" applyAlignment="1">
      <alignment horizontal="left" vertical="center" wrapText="1"/>
    </xf>
    <xf numFmtId="0" fontId="0" fillId="0" borderId="22" xfId="0" applyBorder="1" applyAlignment="1">
      <alignment horizontal="left" vertical="center" shrinkToFit="1"/>
    </xf>
    <xf numFmtId="0" fontId="0" fillId="0" borderId="23" xfId="0" applyBorder="1" applyAlignment="1">
      <alignment horizontal="left" vertical="center" shrinkToFit="1"/>
    </xf>
    <xf numFmtId="0" fontId="5" fillId="3" borderId="0" xfId="0" applyFont="1" applyFill="1" applyAlignment="1">
      <alignment horizontal="left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left" vertical="center" wrapText="1"/>
    </xf>
    <xf numFmtId="0" fontId="1" fillId="0" borderId="9" xfId="0" applyFont="1" applyBorder="1" applyAlignment="1">
      <alignment horizontal="left" vertical="center" wrapText="1"/>
    </xf>
    <xf numFmtId="0" fontId="1" fillId="0" borderId="12" xfId="0" applyFont="1" applyBorder="1" applyAlignment="1">
      <alignment horizontal="left" vertical="center" wrapText="1"/>
    </xf>
    <xf numFmtId="0" fontId="1" fillId="0" borderId="13" xfId="0" applyFont="1" applyBorder="1" applyAlignment="1">
      <alignment horizontal="left" vertical="center" wrapText="1"/>
    </xf>
    <xf numFmtId="0" fontId="2" fillId="3" borderId="3" xfId="0" applyFont="1" applyFill="1" applyBorder="1" applyAlignment="1">
      <alignment horizontal="left" vertical="center" wrapText="1"/>
    </xf>
    <xf numFmtId="0" fontId="2" fillId="3" borderId="5" xfId="0" applyFont="1" applyFill="1" applyBorder="1" applyAlignment="1">
      <alignment horizontal="left" vertical="center" wrapText="1"/>
    </xf>
    <xf numFmtId="0" fontId="11" fillId="3" borderId="3" xfId="0" applyFont="1" applyFill="1" applyBorder="1" applyAlignment="1">
      <alignment horizontal="left" vertical="center" wrapText="1"/>
    </xf>
    <xf numFmtId="0" fontId="11" fillId="3" borderId="5" xfId="0" applyFont="1" applyFill="1" applyBorder="1" applyAlignment="1">
      <alignment horizontal="left" vertical="center" wrapText="1"/>
    </xf>
    <xf numFmtId="0" fontId="11" fillId="3" borderId="17" xfId="0" applyFont="1" applyFill="1" applyBorder="1" applyAlignment="1">
      <alignment horizontal="left" vertical="center" wrapText="1"/>
    </xf>
    <xf numFmtId="164" fontId="4" fillId="6" borderId="19" xfId="0" applyNumberFormat="1" applyFont="1" applyFill="1" applyBorder="1" applyAlignment="1">
      <alignment horizontal="center" vertical="center"/>
    </xf>
    <xf numFmtId="164" fontId="4" fillId="6" borderId="18" xfId="0" applyNumberFormat="1" applyFont="1" applyFill="1" applyBorder="1" applyAlignment="1">
      <alignment horizontal="center" vertical="center"/>
    </xf>
    <xf numFmtId="164" fontId="4" fillId="5" borderId="19" xfId="0" applyNumberFormat="1" applyFont="1" applyFill="1" applyBorder="1" applyAlignment="1">
      <alignment horizontal="center" vertical="center"/>
    </xf>
    <xf numFmtId="164" fontId="4" fillId="5" borderId="18" xfId="0" applyNumberFormat="1" applyFont="1" applyFill="1" applyBorder="1" applyAlignment="1">
      <alignment horizontal="center" vertical="center"/>
    </xf>
    <xf numFmtId="9" fontId="2" fillId="6" borderId="8" xfId="0" applyNumberFormat="1" applyFont="1" applyFill="1" applyBorder="1" applyAlignment="1" applyProtection="1">
      <alignment horizontal="center" vertical="center"/>
      <protection locked="0"/>
    </xf>
    <xf numFmtId="9" fontId="2" fillId="6" borderId="10" xfId="0" applyNumberFormat="1" applyFont="1" applyFill="1" applyBorder="1" applyAlignment="1" applyProtection="1">
      <alignment horizontal="center" vertical="center"/>
      <protection locked="0"/>
    </xf>
    <xf numFmtId="0" fontId="17" fillId="3" borderId="1" xfId="0" applyFont="1" applyFill="1" applyBorder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17" fillId="3" borderId="11" xfId="0" applyFont="1" applyFill="1" applyBorder="1" applyAlignment="1">
      <alignment horizontal="center" vertical="center"/>
    </xf>
    <xf numFmtId="0" fontId="0" fillId="3" borderId="20" xfId="0" applyFill="1" applyBorder="1" applyAlignment="1" applyProtection="1">
      <alignment horizontal="left" vertical="center"/>
      <protection locked="0"/>
    </xf>
    <xf numFmtId="164" fontId="8" fillId="0" borderId="12" xfId="0" applyNumberFormat="1" applyFont="1" applyBorder="1" applyAlignment="1">
      <alignment horizontal="left" wrapText="1"/>
    </xf>
    <xf numFmtId="164" fontId="8" fillId="0" borderId="13" xfId="0" applyNumberFormat="1" applyFont="1" applyBorder="1" applyAlignment="1">
      <alignment horizontal="left" wrapText="1"/>
    </xf>
    <xf numFmtId="164" fontId="8" fillId="0" borderId="14" xfId="0" applyNumberFormat="1" applyFont="1" applyBorder="1" applyAlignment="1">
      <alignment horizontal="left" wrapText="1"/>
    </xf>
    <xf numFmtId="164" fontId="4" fillId="5" borderId="19" xfId="0" applyNumberFormat="1" applyFont="1" applyFill="1" applyBorder="1" applyAlignment="1" applyProtection="1">
      <alignment horizontal="center" vertical="center" wrapText="1"/>
      <protection locked="0"/>
    </xf>
    <xf numFmtId="164" fontId="4" fillId="5" borderId="18" xfId="0" applyNumberFormat="1" applyFont="1" applyFill="1" applyBorder="1" applyAlignment="1" applyProtection="1">
      <alignment horizontal="center" vertical="center" wrapText="1"/>
      <protection locked="0"/>
    </xf>
    <xf numFmtId="0" fontId="24" fillId="3" borderId="21" xfId="0" applyFont="1" applyFill="1" applyBorder="1" applyAlignment="1">
      <alignment horizontal="center" vertical="center"/>
    </xf>
    <xf numFmtId="0" fontId="5" fillId="3" borderId="21" xfId="0" applyFont="1" applyFill="1" applyBorder="1" applyAlignment="1" applyProtection="1">
      <alignment horizontal="center" vertical="center" shrinkToFit="1"/>
      <protection locked="0"/>
    </xf>
    <xf numFmtId="0" fontId="25" fillId="3" borderId="21" xfId="0" applyFont="1" applyFill="1" applyBorder="1" applyAlignment="1">
      <alignment horizontal="left" vertical="center" shrinkToFit="1"/>
    </xf>
    <xf numFmtId="0" fontId="2" fillId="0" borderId="22" xfId="0" applyFont="1" applyBorder="1" applyAlignment="1">
      <alignment horizontal="left" vertical="center" shrinkToFit="1"/>
    </xf>
    <xf numFmtId="0" fontId="2" fillId="0" borderId="23" xfId="0" applyFont="1" applyBorder="1" applyAlignment="1">
      <alignment horizontal="left" vertical="center" shrinkToFit="1"/>
    </xf>
    <xf numFmtId="0" fontId="5" fillId="0" borderId="3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left" vertical="center" wrapText="1"/>
    </xf>
    <xf numFmtId="0" fontId="5" fillId="0" borderId="24" xfId="0" applyFont="1" applyBorder="1" applyAlignment="1">
      <alignment horizontal="left" vertical="center" wrapText="1"/>
    </xf>
  </cellXfs>
  <cellStyles count="3">
    <cellStyle name="Lien hypertexte 2" xfId="1" xr:uid="{00000000-0005-0000-0000-000000000000}"/>
    <cellStyle name="Normal" xfId="0" builtinId="0"/>
    <cellStyle name="Normal 2" xfId="2" xr:uid="{00000000-0005-0000-0000-000002000000}"/>
  </cellStyles>
  <dxfs count="3">
    <dxf>
      <fill>
        <patternFill>
          <bgColor theme="5" tint="0.59996337778862885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7979"/>
        </patternFill>
      </fill>
    </dxf>
  </dxfs>
  <tableStyles count="2" defaultTableStyle="TableStyleMedium9" defaultPivotStyle="PivotStyleLight16">
    <tableStyle name="Style de tableau 1" pivot="0" count="1" xr9:uid="{00000000-0011-0000-FFFF-FFFF00000000}">
      <tableStyleElement type="wholeTable" dxfId="2"/>
    </tableStyle>
    <tableStyle name="Style de tableau croisé dynamique 1" table="0" count="0" xr9:uid="{00000000-0011-0000-FFFF-FFFF01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482600</xdr:colOff>
      <xdr:row>29</xdr:row>
      <xdr:rowOff>63500</xdr:rowOff>
    </xdr:from>
    <xdr:ext cx="3937000" cy="125730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4717AC1E-F1F0-F745-8A2C-20449447EAC2}"/>
            </a:ext>
          </a:extLst>
        </xdr:cNvPr>
        <xdr:cNvSpPr txBox="1"/>
      </xdr:nvSpPr>
      <xdr:spPr>
        <a:xfrm>
          <a:off x="5003800" y="7823200"/>
          <a:ext cx="3937000" cy="12573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fr-FR" sz="1000">
              <a:latin typeface="Arial" panose="020B0604020202020204" pitchFamily="34" charset="0"/>
              <a:cs typeface="Arial" panose="020B0604020202020204" pitchFamily="34" charset="0"/>
            </a:rPr>
            <a:t>Échelle d'évaluation</a:t>
          </a:r>
        </a:p>
        <a:p>
          <a:r>
            <a:rPr lang="fr-FR" sz="1000">
              <a:latin typeface="Arial" panose="020B0604020202020204" pitchFamily="34" charset="0"/>
              <a:cs typeface="Arial" panose="020B0604020202020204" pitchFamily="34" charset="0"/>
            </a:rPr>
            <a:t>Les travaux des étudiants sont appréciés selon l'échelle suivante :</a:t>
          </a:r>
        </a:p>
        <a:p>
          <a:r>
            <a:rPr lang="fr-FR" sz="1000">
              <a:latin typeface="Arial" panose="020B0604020202020204" pitchFamily="34" charset="0"/>
              <a:cs typeface="Arial" panose="020B0604020202020204" pitchFamily="34" charset="0"/>
            </a:rPr>
            <a:t>4.3 - 4.7  =  D  /  satisfaisant</a:t>
          </a:r>
        </a:p>
        <a:p>
          <a:r>
            <a:rPr lang="fr-FR" sz="1000">
              <a:latin typeface="Arial" panose="020B0604020202020204" pitchFamily="34" charset="0"/>
              <a:cs typeface="Arial" panose="020B0604020202020204" pitchFamily="34" charset="0"/>
            </a:rPr>
            <a:t>5.8 - 6.0  =  A  / excellent     4.0 - 4.2  =  E  /  passable</a:t>
          </a:r>
        </a:p>
        <a:p>
          <a:r>
            <a:rPr lang="fr-FR" sz="1000">
              <a:latin typeface="Arial" panose="020B0604020202020204" pitchFamily="34" charset="0"/>
              <a:cs typeface="Arial" panose="020B0604020202020204" pitchFamily="34" charset="0"/>
            </a:rPr>
            <a:t>5.3 - 5.7  =  B  / très bien     3.5 - 3.9  =  FX / échec</a:t>
          </a:r>
        </a:p>
        <a:p>
          <a:r>
            <a:rPr lang="fr-FR" sz="1000">
              <a:latin typeface="Arial" panose="020B0604020202020204" pitchFamily="34" charset="0"/>
              <a:cs typeface="Arial" panose="020B0604020202020204" pitchFamily="34" charset="0"/>
            </a:rPr>
            <a:t>4.8 - 5.2  =  C  / bien            1.0 - 3.4  =  F  /  échec</a:t>
          </a:r>
          <a:r>
            <a:rPr lang="fr-FR" sz="1100"/>
            <a:t>								</a:t>
          </a:r>
        </a:p>
      </xdr:txBody>
    </xdr:sp>
    <xdr:clientData/>
  </xdr:oneCellAnchor>
  <xdr:oneCellAnchor>
    <xdr:from>
      <xdr:col>0</xdr:col>
      <xdr:colOff>9769</xdr:colOff>
      <xdr:row>29</xdr:row>
      <xdr:rowOff>177800</xdr:rowOff>
    </xdr:from>
    <xdr:ext cx="4892431" cy="90170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CFDCC32E-D8F9-1B44-A7B8-5B30D1CA46D4}"/>
            </a:ext>
          </a:extLst>
        </xdr:cNvPr>
        <xdr:cNvSpPr txBox="1"/>
      </xdr:nvSpPr>
      <xdr:spPr>
        <a:xfrm>
          <a:off x="9769" y="7944338"/>
          <a:ext cx="4892431" cy="9017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fr-FR" sz="1000">
              <a:latin typeface="Arial" panose="020B0604020202020204" pitchFamily="34" charset="0"/>
              <a:cs typeface="Arial" panose="020B0604020202020204" pitchFamily="34" charset="0"/>
            </a:rPr>
            <a:t>Félicitations du jury (cocher si oui) </a:t>
          </a:r>
        </a:p>
        <a:p>
          <a:endParaRPr lang="fr-FR" sz="100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000">
              <a:latin typeface="Arial" panose="020B0604020202020204" pitchFamily="34" charset="0"/>
              <a:cs typeface="Arial" panose="020B0604020202020204" pitchFamily="34" charset="0"/>
            </a:rPr>
            <a:t>Proposition de prix (cocher si oui)</a:t>
          </a:r>
          <a:r>
            <a:rPr lang="fr-FR" sz="1100"/>
            <a:t>		</a:t>
          </a:r>
        </a:p>
      </xdr:txBody>
    </xdr:sp>
    <xdr:clientData/>
  </xdr:oneCellAnchor>
  <xdr:twoCellAnchor>
    <xdr:from>
      <xdr:col>5</xdr:col>
      <xdr:colOff>10746</xdr:colOff>
      <xdr:row>30</xdr:row>
      <xdr:rowOff>24424</xdr:rowOff>
    </xdr:from>
    <xdr:to>
      <xdr:col>6</xdr:col>
      <xdr:colOff>87923</xdr:colOff>
      <xdr:row>31</xdr:row>
      <xdr:rowOff>48847</xdr:rowOff>
    </xdr:to>
    <xdr:sp macro="" textlink="">
      <xdr:nvSpPr>
        <xdr:cNvPr id="8" name="Rectangle 1">
          <a:extLst>
            <a:ext uri="{FF2B5EF4-FFF2-40B4-BE49-F238E27FC236}">
              <a16:creationId xmlns:a16="http://schemas.microsoft.com/office/drawing/2014/main" id="{B5935DE6-AA37-4446-BBED-65EADA0B1D33}"/>
            </a:ext>
          </a:extLst>
        </xdr:cNvPr>
        <xdr:cNvSpPr>
          <a:spLocks noChangeArrowheads="1"/>
        </xdr:cNvSpPr>
      </xdr:nvSpPr>
      <xdr:spPr bwMode="auto">
        <a:xfrm>
          <a:off x="2218592" y="7986347"/>
          <a:ext cx="409331" cy="219808"/>
        </a:xfrm>
        <a:prstGeom prst="rect">
          <a:avLst/>
        </a:prstGeom>
        <a:noFill/>
        <a:ln w="1270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10746</xdr:colOff>
      <xdr:row>31</xdr:row>
      <xdr:rowOff>122115</xdr:rowOff>
    </xdr:from>
    <xdr:to>
      <xdr:col>6</xdr:col>
      <xdr:colOff>87923</xdr:colOff>
      <xdr:row>32</xdr:row>
      <xdr:rowOff>146539</xdr:rowOff>
    </xdr:to>
    <xdr:sp macro="" textlink="">
      <xdr:nvSpPr>
        <xdr:cNvPr id="9" name="Rectangle 1">
          <a:extLst>
            <a:ext uri="{FF2B5EF4-FFF2-40B4-BE49-F238E27FC236}">
              <a16:creationId xmlns:a16="http://schemas.microsoft.com/office/drawing/2014/main" id="{FA268588-084B-2D42-889F-FD3E32D00BAC}"/>
            </a:ext>
          </a:extLst>
        </xdr:cNvPr>
        <xdr:cNvSpPr>
          <a:spLocks noChangeArrowheads="1"/>
        </xdr:cNvSpPr>
      </xdr:nvSpPr>
      <xdr:spPr bwMode="auto">
        <a:xfrm>
          <a:off x="2218592" y="8279423"/>
          <a:ext cx="409331" cy="219808"/>
        </a:xfrm>
        <a:prstGeom prst="rect">
          <a:avLst/>
        </a:prstGeom>
        <a:noFill/>
        <a:ln w="1270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0</xdr:col>
      <xdr:colOff>19538</xdr:colOff>
      <xdr:row>33</xdr:row>
      <xdr:rowOff>234461</xdr:rowOff>
    </xdr:from>
    <xdr:ext cx="9026770" cy="878830"/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CA08A2FE-2E5D-124C-AEA9-9E36E6E7FA1E}"/>
            </a:ext>
          </a:extLst>
        </xdr:cNvPr>
        <xdr:cNvSpPr txBox="1"/>
      </xdr:nvSpPr>
      <xdr:spPr>
        <a:xfrm>
          <a:off x="19538" y="8782538"/>
          <a:ext cx="9026770" cy="8788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000">
              <a:latin typeface="Arial" panose="020B0604020202020204" pitchFamily="34" charset="0"/>
              <a:cs typeface="Arial" panose="020B0604020202020204" pitchFamily="34" charset="0"/>
            </a:rPr>
            <a:t>Diffusion du TB :</a:t>
          </a:r>
        </a:p>
        <a:p>
          <a:r>
            <a:rPr lang="fr-FR" sz="1000">
              <a:latin typeface="Arial" panose="020B0604020202020204" pitchFamily="34" charset="0"/>
              <a:cs typeface="Arial" panose="020B0604020202020204" pitchFamily="34" charset="0"/>
            </a:rPr>
            <a:t>Par défaut, les travaux de bachelor non-confidentiels ayant une note égale ou supérieure à 5 sont diffusés en pdf sur la plateforme de consultation des TB : tb.heig-vd.ch. Le jury a le choix de ne pas appliquer cette règle en cochant la case correspondante.</a:t>
          </a:r>
        </a:p>
        <a:p>
          <a:r>
            <a:rPr lang="fr-FR" sz="1000">
              <a:latin typeface="Arial" panose="020B0604020202020204" pitchFamily="34" charset="0"/>
              <a:cs typeface="Arial" panose="020B0604020202020204" pitchFamily="34" charset="0"/>
            </a:rPr>
            <a:t>Décision : Le jury de soutenance autorise la diffusion sur la plateforme         Oui</a:t>
          </a:r>
          <a:r>
            <a:rPr lang="fr-FR" sz="1100"/>
            <a:t>	</a:t>
          </a:r>
          <a:r>
            <a:rPr lang="fr-FR" sz="1100" baseline="0"/>
            <a:t>                 </a:t>
          </a:r>
          <a:r>
            <a:rPr lang="fr-FR" sz="1000"/>
            <a:t>Non</a:t>
          </a:r>
          <a:r>
            <a:rPr lang="fr-FR" sz="1100"/>
            <a:t>					</a:t>
          </a:r>
        </a:p>
      </xdr:txBody>
    </xdr:sp>
    <xdr:clientData/>
  </xdr:oneCellAnchor>
  <xdr:twoCellAnchor>
    <xdr:from>
      <xdr:col>10</xdr:col>
      <xdr:colOff>107462</xdr:colOff>
      <xdr:row>36</xdr:row>
      <xdr:rowOff>68384</xdr:rowOff>
    </xdr:from>
    <xdr:to>
      <xdr:col>10</xdr:col>
      <xdr:colOff>516793</xdr:colOff>
      <xdr:row>37</xdr:row>
      <xdr:rowOff>131885</xdr:rowOff>
    </xdr:to>
    <xdr:sp macro="" textlink="">
      <xdr:nvSpPr>
        <xdr:cNvPr id="12" name="Rectangle 1">
          <a:extLst>
            <a:ext uri="{FF2B5EF4-FFF2-40B4-BE49-F238E27FC236}">
              <a16:creationId xmlns:a16="http://schemas.microsoft.com/office/drawing/2014/main" id="{CB6DF126-48D6-A84D-8BEA-82BFEC7F6DD1}"/>
            </a:ext>
          </a:extLst>
        </xdr:cNvPr>
        <xdr:cNvSpPr>
          <a:spLocks noChangeArrowheads="1"/>
        </xdr:cNvSpPr>
      </xdr:nvSpPr>
      <xdr:spPr bwMode="auto">
        <a:xfrm>
          <a:off x="4650154" y="9280769"/>
          <a:ext cx="409331" cy="219808"/>
        </a:xfrm>
        <a:prstGeom prst="rect">
          <a:avLst/>
        </a:prstGeom>
        <a:noFill/>
        <a:ln w="1270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410307</xdr:colOff>
      <xdr:row>36</xdr:row>
      <xdr:rowOff>78154</xdr:rowOff>
    </xdr:from>
    <xdr:to>
      <xdr:col>12</xdr:col>
      <xdr:colOff>96715</xdr:colOff>
      <xdr:row>37</xdr:row>
      <xdr:rowOff>141655</xdr:rowOff>
    </xdr:to>
    <xdr:sp macro="" textlink="">
      <xdr:nvSpPr>
        <xdr:cNvPr id="13" name="Rectangle 1">
          <a:extLst>
            <a:ext uri="{FF2B5EF4-FFF2-40B4-BE49-F238E27FC236}">
              <a16:creationId xmlns:a16="http://schemas.microsoft.com/office/drawing/2014/main" id="{55281F91-0EEC-C54E-A9ED-E7A2CBA03FEB}"/>
            </a:ext>
          </a:extLst>
        </xdr:cNvPr>
        <xdr:cNvSpPr>
          <a:spLocks noChangeArrowheads="1"/>
        </xdr:cNvSpPr>
      </xdr:nvSpPr>
      <xdr:spPr bwMode="auto">
        <a:xfrm>
          <a:off x="5470769" y="9290539"/>
          <a:ext cx="409331" cy="219808"/>
        </a:xfrm>
        <a:prstGeom prst="rect">
          <a:avLst/>
        </a:prstGeom>
        <a:noFill/>
        <a:ln w="1270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175846</xdr:colOff>
      <xdr:row>5</xdr:row>
      <xdr:rowOff>7323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FBC758A7-1958-3B45-ADF7-FF76A4FAE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055077" cy="78886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S55"/>
  <sheetViews>
    <sheetView showGridLines="0" tabSelected="1" view="pageLayout" zoomScale="130" zoomScaleNormal="70" zoomScaleSheetLayoutView="70" zoomScalePageLayoutView="130" workbookViewId="0">
      <selection activeCell="Q25" sqref="Q25:Q26"/>
    </sheetView>
  </sheetViews>
  <sheetFormatPr defaultColWidth="11.42578125" defaultRowHeight="15"/>
  <cols>
    <col min="1" max="1" width="11.42578125" style="2" customWidth="1"/>
    <col min="2" max="6" width="4.42578125" style="2" customWidth="1"/>
    <col min="7" max="7" width="6" style="2" customWidth="1"/>
    <col min="8" max="9" width="4.42578125" style="2" customWidth="1"/>
    <col min="10" max="10" width="11.42578125" style="2" customWidth="1"/>
    <col min="11" max="11" width="6.85546875" style="4" customWidth="1"/>
    <col min="12" max="12" width="9.42578125" style="2" customWidth="1"/>
    <col min="13" max="13" width="6.5703125" style="2" customWidth="1"/>
    <col min="14" max="14" width="8.140625" style="2" customWidth="1"/>
    <col min="15" max="15" width="4.5703125" style="2" customWidth="1"/>
    <col min="16" max="16" width="12.42578125" style="2" customWidth="1"/>
    <col min="17" max="17" width="10.42578125" style="2" customWidth="1"/>
    <col min="18" max="18" width="4" style="2" customWidth="1"/>
    <col min="19" max="19" width="11.42578125" style="7"/>
    <col min="20" max="16384" width="11.42578125" style="2"/>
  </cols>
  <sheetData>
    <row r="1" spans="1:19" ht="12" customHeight="1">
      <c r="A1" s="36"/>
      <c r="B1" s="37"/>
      <c r="C1" s="37"/>
      <c r="D1" s="37"/>
      <c r="E1" s="37"/>
      <c r="F1" s="37"/>
      <c r="G1" s="37"/>
      <c r="H1" s="37"/>
      <c r="I1" s="37"/>
      <c r="J1" s="37"/>
      <c r="K1" s="38"/>
      <c r="L1" s="37"/>
      <c r="M1" s="37"/>
      <c r="N1" s="37"/>
      <c r="O1" s="37"/>
      <c r="P1" s="37"/>
      <c r="Q1" s="39"/>
      <c r="R1" s="29"/>
    </row>
    <row r="2" spans="1:19" ht="12" customHeight="1">
      <c r="A2" s="40"/>
      <c r="B2" s="29"/>
      <c r="C2" s="29"/>
      <c r="D2" s="29"/>
      <c r="E2" s="29"/>
      <c r="F2" s="29"/>
      <c r="G2" s="29"/>
      <c r="H2" s="29"/>
      <c r="I2" s="29"/>
      <c r="J2" s="29"/>
      <c r="K2" s="24"/>
      <c r="L2" s="29"/>
      <c r="M2" s="29"/>
      <c r="N2" s="29"/>
      <c r="O2" s="29"/>
      <c r="P2" s="29"/>
      <c r="Q2" s="73" t="s">
        <v>0</v>
      </c>
      <c r="R2" s="29"/>
    </row>
    <row r="3" spans="1:19" ht="12" customHeight="1">
      <c r="A3" s="40"/>
      <c r="B3" s="29"/>
      <c r="C3" s="29"/>
      <c r="D3" s="29"/>
      <c r="E3" s="29"/>
      <c r="F3" s="29"/>
      <c r="G3" s="29"/>
      <c r="H3" s="29"/>
      <c r="I3" s="29"/>
      <c r="J3" s="29"/>
      <c r="K3" s="24"/>
      <c r="L3" s="29"/>
      <c r="M3" s="29"/>
      <c r="N3" s="29"/>
      <c r="O3" s="29"/>
      <c r="P3" s="29"/>
      <c r="Q3" s="41"/>
      <c r="R3" s="29"/>
    </row>
    <row r="4" spans="1:19" ht="12" customHeight="1">
      <c r="A4" s="40"/>
      <c r="B4" s="29"/>
      <c r="C4" s="29"/>
      <c r="D4" s="29"/>
      <c r="E4" s="29"/>
      <c r="F4" s="29"/>
      <c r="G4" s="29"/>
      <c r="H4" s="29"/>
      <c r="I4" s="29"/>
      <c r="J4" s="29"/>
      <c r="K4" s="24"/>
      <c r="L4" s="29"/>
      <c r="M4" s="29"/>
      <c r="N4" s="29"/>
      <c r="O4" s="29"/>
      <c r="P4" s="29"/>
      <c r="Q4" s="41"/>
      <c r="R4" s="29"/>
    </row>
    <row r="5" spans="1:19" ht="12" customHeight="1">
      <c r="A5" s="40"/>
      <c r="B5" s="29"/>
      <c r="C5" s="29"/>
      <c r="D5" s="29"/>
      <c r="E5" s="29"/>
      <c r="F5" s="29"/>
      <c r="G5" s="29"/>
      <c r="H5" s="29"/>
      <c r="I5" s="29"/>
      <c r="J5" s="29"/>
      <c r="K5" s="24"/>
      <c r="L5" s="29"/>
      <c r="M5" s="29"/>
      <c r="N5" s="29"/>
      <c r="O5" s="29"/>
      <c r="P5" s="29"/>
      <c r="Q5" s="41"/>
      <c r="R5" s="29"/>
    </row>
    <row r="6" spans="1:19" ht="18" customHeight="1">
      <c r="A6" s="133" t="s">
        <v>1</v>
      </c>
      <c r="B6" s="134"/>
      <c r="C6" s="134"/>
      <c r="D6" s="134"/>
      <c r="E6" s="134"/>
      <c r="F6" s="134"/>
      <c r="G6" s="134"/>
      <c r="H6" s="134"/>
      <c r="I6" s="134"/>
      <c r="J6" s="134"/>
      <c r="K6" s="134"/>
      <c r="L6" s="134"/>
      <c r="M6" s="134"/>
      <c r="N6" s="134"/>
      <c r="O6" s="134"/>
      <c r="P6" s="134"/>
      <c r="Q6" s="135"/>
      <c r="R6" s="29"/>
    </row>
    <row r="7" spans="1:19" ht="12" customHeight="1">
      <c r="A7" s="42"/>
      <c r="B7" s="43"/>
      <c r="C7" s="43"/>
      <c r="D7" s="43"/>
      <c r="E7" s="43"/>
      <c r="F7" s="43"/>
      <c r="G7" s="43"/>
      <c r="H7" s="43"/>
      <c r="I7" s="43"/>
      <c r="J7" s="43"/>
      <c r="K7" s="44"/>
      <c r="L7" s="43"/>
      <c r="M7" s="43"/>
      <c r="N7" s="43"/>
      <c r="O7" s="43"/>
      <c r="P7" s="43"/>
      <c r="Q7" s="45"/>
      <c r="R7" s="29"/>
    </row>
    <row r="8" spans="1:19" ht="18.75" customHeight="1">
      <c r="A8" s="3" t="s">
        <v>2</v>
      </c>
      <c r="B8" s="144"/>
      <c r="C8" s="144"/>
      <c r="D8" s="144"/>
      <c r="E8" s="144"/>
      <c r="F8" s="144"/>
      <c r="G8" s="144"/>
      <c r="H8" s="143"/>
      <c r="I8" s="143"/>
      <c r="J8" s="143"/>
      <c r="K8" s="143"/>
      <c r="L8" s="142"/>
      <c r="M8" s="142"/>
      <c r="N8" s="84"/>
      <c r="O8" s="84"/>
      <c r="P8" s="84"/>
      <c r="Q8" s="85"/>
      <c r="R8" s="33"/>
    </row>
    <row r="9" spans="1:19" ht="18.75" customHeight="1">
      <c r="A9" s="3" t="s">
        <v>3</v>
      </c>
      <c r="B9" s="145"/>
      <c r="C9" s="145"/>
      <c r="D9" s="145"/>
      <c r="E9" s="145"/>
      <c r="F9" s="145"/>
      <c r="G9" s="145"/>
      <c r="H9" s="145"/>
      <c r="I9" s="145"/>
      <c r="J9" s="145"/>
      <c r="K9" s="145"/>
      <c r="L9" s="145"/>
      <c r="M9" s="145"/>
      <c r="N9" s="145"/>
      <c r="O9" s="145"/>
      <c r="P9" s="145"/>
      <c r="Q9" s="146"/>
      <c r="R9" s="29"/>
    </row>
    <row r="10" spans="1:19" ht="18.75" customHeight="1">
      <c r="A10" s="16" t="s">
        <v>4</v>
      </c>
      <c r="B10" s="111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11"/>
      <c r="N10" s="111"/>
      <c r="O10" s="111"/>
      <c r="P10" s="111"/>
      <c r="Q10" s="112"/>
      <c r="R10" s="29"/>
    </row>
    <row r="11" spans="1:19" ht="18.75" customHeight="1">
      <c r="A11" s="16" t="s">
        <v>5</v>
      </c>
      <c r="B11" s="111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11"/>
      <c r="N11" s="111"/>
      <c r="O11" s="111"/>
      <c r="P11" s="111"/>
      <c r="Q11" s="112"/>
      <c r="R11" s="29"/>
    </row>
    <row r="12" spans="1:19" ht="9" customHeight="1">
      <c r="A12" s="42"/>
      <c r="B12" s="46"/>
      <c r="C12" s="46"/>
      <c r="D12" s="46"/>
      <c r="E12" s="46"/>
      <c r="F12" s="46"/>
      <c r="G12" s="46"/>
      <c r="H12" s="46"/>
      <c r="I12" s="46"/>
      <c r="J12" s="46"/>
      <c r="K12" s="47"/>
      <c r="L12" s="46"/>
      <c r="M12" s="46"/>
      <c r="N12" s="46"/>
      <c r="O12" s="46"/>
      <c r="P12" s="46"/>
      <c r="Q12" s="48"/>
      <c r="R12" s="29"/>
    </row>
    <row r="13" spans="1:19" ht="48" customHeight="1">
      <c r="A13" s="116" t="s">
        <v>6</v>
      </c>
      <c r="B13" s="117"/>
      <c r="C13" s="117"/>
      <c r="D13" s="117"/>
      <c r="E13" s="117"/>
      <c r="F13" s="117"/>
      <c r="G13" s="117"/>
      <c r="H13" s="117"/>
      <c r="I13" s="117"/>
      <c r="J13" s="117"/>
      <c r="K13" s="58"/>
      <c r="L13" s="88" t="s">
        <v>7</v>
      </c>
      <c r="M13" s="89"/>
      <c r="N13" s="88" t="s">
        <v>8</v>
      </c>
      <c r="O13" s="89"/>
      <c r="P13" s="59" t="s">
        <v>9</v>
      </c>
      <c r="Q13" s="59" t="s">
        <v>10</v>
      </c>
      <c r="R13" s="29"/>
    </row>
    <row r="14" spans="1:19" s="6" customFormat="1" ht="12">
      <c r="A14" s="49"/>
      <c r="B14" s="50"/>
      <c r="C14" s="50"/>
      <c r="D14" s="50"/>
      <c r="E14" s="50"/>
      <c r="F14" s="50"/>
      <c r="G14" s="50"/>
      <c r="H14" s="50"/>
      <c r="I14" s="50"/>
      <c r="J14" s="50"/>
      <c r="K14" s="51"/>
      <c r="L14" s="124" t="s">
        <v>11</v>
      </c>
      <c r="M14" s="125"/>
      <c r="N14" s="125"/>
      <c r="O14" s="125"/>
      <c r="P14" s="125"/>
      <c r="Q14" s="126"/>
      <c r="R14" s="32"/>
      <c r="S14" s="8"/>
    </row>
    <row r="15" spans="1:19" s="6" customFormat="1" ht="11.25" customHeight="1">
      <c r="A15" s="52"/>
      <c r="B15" s="53"/>
      <c r="C15" s="53"/>
      <c r="D15" s="53"/>
      <c r="E15" s="53"/>
      <c r="F15" s="53"/>
      <c r="G15" s="53"/>
      <c r="H15" s="53"/>
      <c r="I15" s="53"/>
      <c r="J15" s="53"/>
      <c r="K15" s="54"/>
      <c r="L15" s="106" t="s">
        <v>12</v>
      </c>
      <c r="M15" s="107"/>
      <c r="N15" s="107"/>
      <c r="O15" s="107"/>
      <c r="P15" s="107"/>
      <c r="Q15" s="108"/>
      <c r="R15" s="32"/>
      <c r="S15" s="8"/>
    </row>
    <row r="16" spans="1:19" ht="30" customHeight="1">
      <c r="A16" s="118" t="s">
        <v>13</v>
      </c>
      <c r="B16" s="119"/>
      <c r="C16" s="119"/>
      <c r="D16" s="119"/>
      <c r="E16" s="119"/>
      <c r="F16" s="119"/>
      <c r="G16" s="119"/>
      <c r="H16" s="119"/>
      <c r="I16" s="119"/>
      <c r="J16" s="119"/>
      <c r="K16" s="60"/>
      <c r="L16" s="131">
        <v>0.1</v>
      </c>
      <c r="M16" s="132"/>
      <c r="N16" s="90"/>
      <c r="O16" s="91"/>
      <c r="P16" s="102"/>
      <c r="Q16" s="127">
        <f>IF(N16&lt;&gt;"",AVERAGE(N16,P16),0)</f>
        <v>0</v>
      </c>
      <c r="R16" s="29"/>
    </row>
    <row r="17" spans="1:19" ht="37.5" customHeight="1">
      <c r="A17" s="120"/>
      <c r="B17" s="121"/>
      <c r="C17" s="121"/>
      <c r="D17" s="121"/>
      <c r="E17" s="121"/>
      <c r="F17" s="121"/>
      <c r="G17" s="121"/>
      <c r="H17" s="121"/>
      <c r="I17" s="121"/>
      <c r="J17" s="121"/>
      <c r="K17" s="61"/>
      <c r="L17" s="104" t="s">
        <v>14</v>
      </c>
      <c r="M17" s="105"/>
      <c r="N17" s="92"/>
      <c r="O17" s="93"/>
      <c r="P17" s="103"/>
      <c r="Q17" s="128"/>
      <c r="R17" s="29"/>
    </row>
    <row r="18" spans="1:19" ht="12" customHeight="1">
      <c r="A18" s="55"/>
      <c r="B18" s="56"/>
      <c r="C18" s="56"/>
      <c r="D18" s="56"/>
      <c r="E18" s="56"/>
      <c r="F18" s="56"/>
      <c r="G18" s="56"/>
      <c r="H18" s="56"/>
      <c r="I18" s="56"/>
      <c r="J18" s="56"/>
      <c r="K18" s="57"/>
      <c r="L18" s="109" t="s">
        <v>15</v>
      </c>
      <c r="M18" s="109"/>
      <c r="N18" s="109"/>
      <c r="O18" s="109"/>
      <c r="P18" s="109"/>
      <c r="Q18" s="110"/>
      <c r="R18" s="29"/>
    </row>
    <row r="19" spans="1:19" ht="30" customHeight="1">
      <c r="A19" s="118" t="s">
        <v>16</v>
      </c>
      <c r="B19" s="119"/>
      <c r="C19" s="119"/>
      <c r="D19" s="119"/>
      <c r="E19" s="119"/>
      <c r="F19" s="119"/>
      <c r="G19" s="119"/>
      <c r="H19" s="119"/>
      <c r="I19" s="119"/>
      <c r="J19" s="119"/>
      <c r="K19" s="60"/>
      <c r="L19" s="98">
        <v>0.2</v>
      </c>
      <c r="M19" s="99"/>
      <c r="N19" s="94"/>
      <c r="O19" s="95"/>
      <c r="P19" s="102"/>
      <c r="Q19" s="129">
        <f>IF(N19&lt;&gt;"",AVERAGE(N19,P19),0)</f>
        <v>0</v>
      </c>
      <c r="R19" s="29"/>
    </row>
    <row r="20" spans="1:19" ht="30" customHeight="1">
      <c r="A20" s="120"/>
      <c r="B20" s="121"/>
      <c r="C20" s="121"/>
      <c r="D20" s="121"/>
      <c r="E20" s="121"/>
      <c r="F20" s="121"/>
      <c r="G20" s="121"/>
      <c r="H20" s="121"/>
      <c r="I20" s="121"/>
      <c r="J20" s="121"/>
      <c r="K20" s="62"/>
      <c r="L20" s="100" t="s">
        <v>17</v>
      </c>
      <c r="M20" s="101"/>
      <c r="N20" s="96"/>
      <c r="O20" s="97"/>
      <c r="P20" s="103"/>
      <c r="Q20" s="130"/>
      <c r="R20" s="29"/>
    </row>
    <row r="21" spans="1:19" ht="30" customHeight="1">
      <c r="A21" s="118" t="s">
        <v>18</v>
      </c>
      <c r="B21" s="119"/>
      <c r="C21" s="119"/>
      <c r="D21" s="119"/>
      <c r="E21" s="119"/>
      <c r="F21" s="119"/>
      <c r="G21" s="119"/>
      <c r="H21" s="119"/>
      <c r="I21" s="119"/>
      <c r="J21" s="119"/>
      <c r="K21" s="63"/>
      <c r="L21" s="98">
        <v>0.25</v>
      </c>
      <c r="M21" s="99"/>
      <c r="N21" s="94"/>
      <c r="O21" s="95"/>
      <c r="P21" s="140"/>
      <c r="Q21" s="129">
        <f>IF(N21&lt;&gt;"",AVERAGE(N21,P21),0)</f>
        <v>0</v>
      </c>
      <c r="R21" s="29"/>
    </row>
    <row r="22" spans="1:19" ht="30" customHeight="1">
      <c r="A22" s="120"/>
      <c r="B22" s="121"/>
      <c r="C22" s="121"/>
      <c r="D22" s="121"/>
      <c r="E22" s="121"/>
      <c r="F22" s="121"/>
      <c r="G22" s="121"/>
      <c r="H22" s="121"/>
      <c r="I22" s="121"/>
      <c r="J22" s="121"/>
      <c r="K22" s="62"/>
      <c r="L22" s="100" t="s">
        <v>17</v>
      </c>
      <c r="M22" s="101"/>
      <c r="N22" s="96"/>
      <c r="O22" s="97"/>
      <c r="P22" s="141"/>
      <c r="Q22" s="130"/>
      <c r="R22" s="29"/>
    </row>
    <row r="23" spans="1:19" ht="30" customHeight="1">
      <c r="A23" s="118" t="s">
        <v>19</v>
      </c>
      <c r="B23" s="119"/>
      <c r="C23" s="119"/>
      <c r="D23" s="119"/>
      <c r="E23" s="119"/>
      <c r="F23" s="119"/>
      <c r="G23" s="119"/>
      <c r="H23" s="119"/>
      <c r="I23" s="119"/>
      <c r="J23" s="119"/>
      <c r="K23" s="64"/>
      <c r="L23" s="98">
        <v>0.25</v>
      </c>
      <c r="M23" s="99"/>
      <c r="N23" s="94"/>
      <c r="O23" s="95"/>
      <c r="P23" s="140"/>
      <c r="Q23" s="129">
        <f>IF(N23&lt;&gt;"",AVERAGE(N23,P23),0)</f>
        <v>0</v>
      </c>
      <c r="R23" s="29"/>
    </row>
    <row r="24" spans="1:19" ht="30" customHeight="1">
      <c r="A24" s="120"/>
      <c r="B24" s="121"/>
      <c r="C24" s="121"/>
      <c r="D24" s="121"/>
      <c r="E24" s="121"/>
      <c r="F24" s="121"/>
      <c r="G24" s="121"/>
      <c r="H24" s="121"/>
      <c r="I24" s="121"/>
      <c r="J24" s="121"/>
      <c r="K24" s="64"/>
      <c r="L24" s="100" t="s">
        <v>20</v>
      </c>
      <c r="M24" s="101"/>
      <c r="N24" s="96"/>
      <c r="O24" s="97"/>
      <c r="P24" s="141"/>
      <c r="Q24" s="130"/>
      <c r="R24" s="29"/>
    </row>
    <row r="25" spans="1:19" ht="30" customHeight="1">
      <c r="A25" s="118" t="s">
        <v>21</v>
      </c>
      <c r="B25" s="119"/>
      <c r="C25" s="119"/>
      <c r="D25" s="119"/>
      <c r="E25" s="119"/>
      <c r="F25" s="119"/>
      <c r="G25" s="119"/>
      <c r="H25" s="119"/>
      <c r="I25" s="119"/>
      <c r="J25" s="119"/>
      <c r="K25" s="60"/>
      <c r="L25" s="98">
        <v>0.2</v>
      </c>
      <c r="M25" s="99"/>
      <c r="N25" s="94"/>
      <c r="O25" s="95"/>
      <c r="P25" s="140"/>
      <c r="Q25" s="129">
        <f>IF(N25&lt;&gt;"",AVERAGE(N25,P25),0)</f>
        <v>0</v>
      </c>
      <c r="R25" s="29"/>
    </row>
    <row r="26" spans="1:19" ht="30" customHeight="1">
      <c r="A26" s="120"/>
      <c r="B26" s="121"/>
      <c r="C26" s="121"/>
      <c r="D26" s="121"/>
      <c r="E26" s="121"/>
      <c r="F26" s="121"/>
      <c r="G26" s="121"/>
      <c r="H26" s="121"/>
      <c r="I26" s="121"/>
      <c r="J26" s="121"/>
      <c r="K26" s="62"/>
      <c r="L26" s="100" t="s">
        <v>17</v>
      </c>
      <c r="M26" s="101"/>
      <c r="N26" s="96"/>
      <c r="O26" s="97"/>
      <c r="P26" s="141"/>
      <c r="Q26" s="130"/>
      <c r="R26" s="29"/>
    </row>
    <row r="27" spans="1:19" ht="4.5" customHeight="1">
      <c r="A27" s="13"/>
      <c r="B27" s="14"/>
      <c r="C27" s="14"/>
      <c r="D27" s="14"/>
      <c r="E27" s="14"/>
      <c r="F27" s="14"/>
      <c r="G27" s="14"/>
      <c r="H27" s="14"/>
      <c r="I27" s="14"/>
      <c r="J27" s="14"/>
      <c r="K27" s="65"/>
      <c r="L27" s="66"/>
      <c r="M27" s="66"/>
      <c r="N27" s="67"/>
      <c r="O27" s="67"/>
      <c r="P27" s="67"/>
      <c r="Q27" s="68"/>
      <c r="R27" s="29"/>
    </row>
    <row r="28" spans="1:19" ht="21" customHeight="1" thickBot="1">
      <c r="A28" s="122" t="s">
        <v>22</v>
      </c>
      <c r="B28" s="123"/>
      <c r="C28" s="123"/>
      <c r="D28" s="123"/>
      <c r="E28" s="123"/>
      <c r="F28" s="123"/>
      <c r="G28" s="123"/>
      <c r="H28" s="123"/>
      <c r="I28" s="123"/>
      <c r="J28" s="123"/>
      <c r="K28" s="69"/>
      <c r="L28" s="86">
        <f>MAX(L25,0.15)+MAX(L23,0.2)+MAX(L21,0.15)+MAX(L19,0.15)+MAX(L16,0.1)</f>
        <v>0.99999999999999989</v>
      </c>
      <c r="M28" s="87"/>
      <c r="N28" s="114"/>
      <c r="O28" s="115"/>
      <c r="P28" s="115"/>
      <c r="Q28" s="15">
        <f>IF(Q16="","",(MAX(L16,0.1)*Q16+MAX(L19,0.15)*Q19+MAX(L21,0.15)*Q21+MAX(L23,0.2)*Q23+MAX(L25,0.15)*Q25)/(MAX(L16,0.1)+MAX(L19,0.15)+MAX(L21,0.15)+MAX(L23,0.2)+MAX(L25,0.15)))</f>
        <v>0</v>
      </c>
      <c r="R28" s="33" t="s">
        <v>23</v>
      </c>
    </row>
    <row r="29" spans="1:19" s="5" customFormat="1" ht="25.5" customHeight="1" thickBot="1">
      <c r="A29" s="147" t="s">
        <v>24</v>
      </c>
      <c r="B29" s="148"/>
      <c r="C29" s="148"/>
      <c r="D29" s="148"/>
      <c r="E29" s="148"/>
      <c r="F29" s="148"/>
      <c r="G29" s="148"/>
      <c r="H29" s="148"/>
      <c r="I29" s="148"/>
      <c r="J29" s="148"/>
      <c r="K29" s="148"/>
      <c r="L29" s="148"/>
      <c r="M29" s="148"/>
      <c r="N29" s="148"/>
      <c r="O29" s="148"/>
      <c r="P29" s="149"/>
      <c r="Q29" s="83">
        <f>ROUND(Q28,1)</f>
        <v>0</v>
      </c>
      <c r="R29" s="20"/>
      <c r="S29" s="9"/>
    </row>
    <row r="30" spans="1:19" s="5" customFormat="1" ht="15" customHeight="1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8"/>
      <c r="R30" s="20"/>
      <c r="S30" s="9"/>
    </row>
    <row r="31" spans="1:19" s="5" customFormat="1" ht="15" customHeight="1">
      <c r="A31" s="113"/>
      <c r="B31" s="113"/>
      <c r="C31" s="113"/>
      <c r="D31" s="113"/>
      <c r="E31" s="113"/>
      <c r="F31" s="113"/>
      <c r="G31" s="113"/>
      <c r="H31" s="113"/>
      <c r="I31" s="113"/>
      <c r="J31" s="20"/>
      <c r="K31" s="19"/>
      <c r="L31" s="19"/>
      <c r="M31" s="17"/>
      <c r="N31" s="17"/>
      <c r="O31" s="17"/>
      <c r="P31" s="18"/>
      <c r="Q31" s="34" t="s">
        <v>25</v>
      </c>
      <c r="R31" s="9"/>
    </row>
    <row r="32" spans="1:19" s="5" customFormat="1" ht="15" customHeight="1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8"/>
      <c r="R32" s="20"/>
      <c r="S32" s="9"/>
    </row>
    <row r="33" spans="1:19" s="5" customFormat="1" ht="15" customHeight="1">
      <c r="A33" s="113"/>
      <c r="B33" s="113"/>
      <c r="C33" s="113"/>
      <c r="D33" s="113"/>
      <c r="E33" s="113"/>
      <c r="F33" s="113"/>
      <c r="G33" s="113"/>
      <c r="H33" s="113"/>
      <c r="I33" s="113"/>
      <c r="J33" s="17"/>
      <c r="K33" s="17"/>
      <c r="L33" s="17"/>
      <c r="M33" s="17"/>
      <c r="N33" s="17"/>
      <c r="O33" s="17"/>
      <c r="P33" s="18"/>
      <c r="Q33" s="20"/>
      <c r="R33" s="9"/>
    </row>
    <row r="34" spans="1:19" customFormat="1" ht="28.5" customHeight="1">
      <c r="A34" s="21"/>
      <c r="B34" s="21"/>
      <c r="C34" s="21"/>
      <c r="D34" s="21"/>
      <c r="E34" s="21"/>
      <c r="F34" s="21"/>
      <c r="G34" s="21"/>
      <c r="H34" s="21"/>
      <c r="I34" s="21"/>
      <c r="J34" s="21"/>
      <c r="K34" s="22"/>
      <c r="L34" s="23"/>
      <c r="M34" s="23"/>
      <c r="N34" s="23"/>
      <c r="O34" s="23"/>
      <c r="P34" s="23"/>
      <c r="Q34" s="23"/>
      <c r="R34" s="23"/>
      <c r="S34" s="10"/>
    </row>
    <row r="35" spans="1:19" customFormat="1" ht="12.75" customHeight="1">
      <c r="A35" s="23"/>
      <c r="B35" s="23"/>
      <c r="C35" s="23"/>
      <c r="D35" s="23"/>
      <c r="E35" s="23"/>
      <c r="F35" s="23"/>
      <c r="G35" s="23"/>
      <c r="H35" s="23"/>
      <c r="I35" s="23"/>
      <c r="J35" s="23"/>
      <c r="K35" s="24"/>
      <c r="L35" s="23"/>
      <c r="M35" s="23"/>
      <c r="N35" s="23"/>
      <c r="O35" s="23"/>
      <c r="P35" s="23"/>
      <c r="Q35" s="23"/>
      <c r="R35" s="23"/>
      <c r="S35" s="11"/>
    </row>
    <row r="36" spans="1:19" customFormat="1" ht="12.75" customHeight="1">
      <c r="A36" s="23"/>
      <c r="B36" s="23"/>
      <c r="C36" s="23"/>
      <c r="D36" s="23"/>
      <c r="E36" s="23"/>
      <c r="F36" s="23"/>
      <c r="G36" s="23"/>
      <c r="H36" s="25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10"/>
    </row>
    <row r="37" spans="1:19" customFormat="1" ht="12.75" customHeight="1">
      <c r="A37" s="23"/>
      <c r="B37" s="23"/>
      <c r="C37" s="23"/>
      <c r="D37" s="26"/>
      <c r="E37" s="27"/>
      <c r="F37" s="23"/>
      <c r="G37" s="23"/>
      <c r="H37" s="25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10"/>
    </row>
    <row r="38" spans="1:19" customFormat="1" ht="12.75" customHeight="1">
      <c r="A38" s="23"/>
      <c r="B38" s="23"/>
      <c r="C38" s="23"/>
      <c r="D38" s="26"/>
      <c r="E38" s="27"/>
      <c r="F38" s="23"/>
      <c r="G38" s="23"/>
      <c r="H38" s="25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10"/>
    </row>
    <row r="39" spans="1:19" customFormat="1" ht="12.75" customHeight="1">
      <c r="A39" s="23"/>
      <c r="B39" s="23"/>
      <c r="C39" s="23"/>
      <c r="D39" s="26"/>
      <c r="E39" s="27"/>
      <c r="F39" s="26"/>
      <c r="G39" s="23"/>
      <c r="H39" s="25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10"/>
    </row>
    <row r="40" spans="1:19" customFormat="1" ht="12.75" customHeight="1">
      <c r="A40" s="23"/>
      <c r="B40" s="23"/>
      <c r="C40" s="23"/>
      <c r="D40" s="26"/>
      <c r="E40" s="27"/>
      <c r="F40" s="26"/>
      <c r="G40" s="23"/>
      <c r="H40" s="25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10"/>
    </row>
    <row r="41" spans="1:19" customFormat="1" ht="12.75" customHeight="1">
      <c r="A41" s="28" t="s">
        <v>26</v>
      </c>
      <c r="B41" s="23"/>
      <c r="C41" s="23"/>
      <c r="D41" s="26"/>
      <c r="E41" s="27"/>
      <c r="F41" s="26"/>
      <c r="G41" s="23"/>
      <c r="H41" s="25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10"/>
    </row>
    <row r="42" spans="1:19" customFormat="1" ht="12.75" customHeight="1">
      <c r="A42" s="74"/>
      <c r="B42" s="75"/>
      <c r="C42" s="75"/>
      <c r="D42" s="76"/>
      <c r="E42" s="77"/>
      <c r="F42" s="76"/>
      <c r="G42" s="75"/>
      <c r="H42" s="78"/>
      <c r="I42" s="75"/>
      <c r="J42" s="75"/>
      <c r="K42" s="75"/>
      <c r="L42" s="75"/>
      <c r="M42" s="75"/>
      <c r="N42" s="75"/>
      <c r="O42" s="75"/>
      <c r="P42" s="75"/>
      <c r="Q42" s="79"/>
      <c r="R42" s="23"/>
      <c r="S42" s="10"/>
    </row>
    <row r="43" spans="1:19" customFormat="1" ht="12.75" customHeight="1">
      <c r="A43" s="80"/>
      <c r="B43" s="23"/>
      <c r="C43" s="23"/>
      <c r="D43" s="26"/>
      <c r="E43" s="27"/>
      <c r="F43" s="26"/>
      <c r="G43" s="23"/>
      <c r="H43" s="25"/>
      <c r="I43" s="23"/>
      <c r="J43" s="23"/>
      <c r="K43" s="23"/>
      <c r="L43" s="23"/>
      <c r="M43" s="23"/>
      <c r="N43" s="23"/>
      <c r="O43" s="23"/>
      <c r="P43" s="23"/>
      <c r="Q43" s="81"/>
      <c r="R43" s="23"/>
      <c r="S43" s="10"/>
    </row>
    <row r="44" spans="1:19" customFormat="1" ht="12.75" customHeight="1">
      <c r="A44" s="80"/>
      <c r="B44" s="23"/>
      <c r="C44" s="23"/>
      <c r="D44" s="26"/>
      <c r="E44" s="27"/>
      <c r="F44" s="26"/>
      <c r="G44" s="23"/>
      <c r="H44" s="25"/>
      <c r="I44" s="23"/>
      <c r="J44" s="23"/>
      <c r="K44" s="23"/>
      <c r="L44" s="23"/>
      <c r="M44" s="23"/>
      <c r="N44" s="23"/>
      <c r="O44" s="23"/>
      <c r="P44" s="23"/>
      <c r="Q44" s="81"/>
      <c r="R44" s="23"/>
      <c r="S44" s="10"/>
    </row>
    <row r="45" spans="1:19" s="1" customFormat="1" ht="25.5" customHeight="1">
      <c r="A45" s="137"/>
      <c r="B45" s="138"/>
      <c r="C45" s="138"/>
      <c r="D45" s="138"/>
      <c r="E45" s="138"/>
      <c r="F45" s="138"/>
      <c r="G45" s="138"/>
      <c r="H45" s="138"/>
      <c r="I45" s="138"/>
      <c r="J45" s="138"/>
      <c r="K45" s="138"/>
      <c r="L45" s="138"/>
      <c r="M45" s="138"/>
      <c r="N45" s="138"/>
      <c r="O45" s="138"/>
      <c r="P45" s="138"/>
      <c r="Q45" s="139"/>
      <c r="R45" s="35"/>
      <c r="S45" s="12"/>
    </row>
    <row r="46" spans="1:19" s="1" customFormat="1" ht="25.5" customHeight="1">
      <c r="A46" s="82"/>
      <c r="B46" s="82"/>
      <c r="C46" s="82"/>
      <c r="D46" s="82"/>
      <c r="E46" s="82"/>
      <c r="F46" s="82"/>
      <c r="G46" s="82"/>
      <c r="H46" s="82"/>
      <c r="I46" s="82"/>
      <c r="J46" s="82"/>
      <c r="K46" s="82"/>
      <c r="L46" s="82"/>
      <c r="M46" s="82"/>
      <c r="N46" s="82"/>
      <c r="O46" s="82"/>
      <c r="P46" s="82"/>
      <c r="Q46" s="82"/>
      <c r="R46" s="35"/>
      <c r="S46" s="12"/>
    </row>
    <row r="47" spans="1:19" ht="24" customHeight="1">
      <c r="A47" s="28" t="s">
        <v>27</v>
      </c>
      <c r="B47" s="28"/>
      <c r="C47" s="28"/>
      <c r="D47" s="28"/>
      <c r="E47" s="28"/>
      <c r="F47" s="70"/>
      <c r="G47" s="70"/>
      <c r="H47" s="70"/>
      <c r="I47" s="70"/>
      <c r="J47" s="70"/>
      <c r="K47" s="71"/>
      <c r="L47" s="136"/>
      <c r="M47" s="136"/>
      <c r="N47" s="136"/>
      <c r="O47" s="136"/>
      <c r="P47" s="136"/>
      <c r="Q47" s="136"/>
      <c r="R47" s="29"/>
    </row>
    <row r="48" spans="1:19" ht="24" customHeight="1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4"/>
      <c r="L48" s="30"/>
      <c r="M48" s="30"/>
      <c r="N48" s="30"/>
      <c r="O48" s="30"/>
      <c r="P48" s="30"/>
      <c r="Q48" s="30"/>
      <c r="R48" s="29"/>
    </row>
    <row r="49" spans="1:18" ht="24" customHeight="1">
      <c r="A49" s="23" t="s">
        <v>28</v>
      </c>
      <c r="B49" s="23"/>
      <c r="C49" s="23"/>
      <c r="D49" s="23"/>
      <c r="E49" s="23"/>
      <c r="F49" s="72"/>
      <c r="G49" s="72"/>
      <c r="H49" s="72"/>
      <c r="I49" s="72"/>
      <c r="J49" s="72"/>
      <c r="K49" s="71"/>
      <c r="L49" s="136"/>
      <c r="M49" s="136"/>
      <c r="N49" s="136"/>
      <c r="O49" s="136"/>
      <c r="P49" s="136"/>
      <c r="Q49" s="136"/>
      <c r="R49" s="29"/>
    </row>
    <row r="50" spans="1:18">
      <c r="A50" s="29"/>
      <c r="B50" s="29"/>
      <c r="C50" s="29"/>
      <c r="D50" s="29"/>
      <c r="E50" s="29"/>
      <c r="F50" s="29"/>
      <c r="G50" s="29"/>
      <c r="H50" s="29"/>
      <c r="I50" s="29"/>
      <c r="J50" s="29"/>
      <c r="K50" s="24"/>
      <c r="L50" s="29"/>
      <c r="M50" s="29"/>
      <c r="N50" s="29"/>
      <c r="O50" s="29"/>
      <c r="P50" s="29"/>
      <c r="Q50" s="29"/>
      <c r="R50" s="29"/>
    </row>
    <row r="51" spans="1:18" ht="12.75" customHeight="1">
      <c r="A51" s="31" t="s">
        <v>29</v>
      </c>
      <c r="B51" s="31"/>
      <c r="C51" s="31"/>
      <c r="D51" s="31"/>
      <c r="E51" s="31"/>
      <c r="F51" s="31"/>
      <c r="G51" s="31"/>
      <c r="H51" s="31"/>
      <c r="I51" s="31"/>
      <c r="J51" s="31"/>
      <c r="K51" s="22"/>
      <c r="L51" s="29"/>
      <c r="M51" s="29"/>
      <c r="N51" s="29"/>
      <c r="O51" s="29"/>
      <c r="P51" s="29"/>
      <c r="Q51" s="29"/>
      <c r="R51" s="29"/>
    </row>
    <row r="52" spans="1:18" ht="12.75" customHeight="1">
      <c r="A52" s="31" t="s">
        <v>30</v>
      </c>
      <c r="B52" s="31"/>
      <c r="C52" s="31"/>
      <c r="D52" s="31"/>
      <c r="E52" s="31"/>
      <c r="F52" s="31"/>
      <c r="G52" s="31"/>
      <c r="H52" s="31"/>
      <c r="I52" s="31"/>
      <c r="J52" s="31"/>
      <c r="K52" s="22"/>
      <c r="L52" s="29"/>
      <c r="M52" s="29"/>
      <c r="N52" s="29"/>
      <c r="O52" s="29"/>
      <c r="P52" s="29"/>
      <c r="Q52" s="29"/>
      <c r="R52" s="29"/>
    </row>
    <row r="53" spans="1:18" ht="6" customHeight="1">
      <c r="A53" s="29"/>
      <c r="B53" s="29"/>
      <c r="C53" s="29"/>
      <c r="D53" s="29"/>
      <c r="E53" s="29"/>
      <c r="F53" s="29"/>
      <c r="G53" s="29"/>
      <c r="H53" s="29"/>
      <c r="I53" s="29"/>
      <c r="J53" s="29"/>
      <c r="K53" s="24"/>
      <c r="L53" s="29"/>
      <c r="M53" s="29"/>
      <c r="N53" s="29"/>
      <c r="O53" s="29"/>
      <c r="P53" s="29"/>
      <c r="Q53" s="29"/>
      <c r="R53" s="29"/>
    </row>
    <row r="54" spans="1:18" ht="12.75" customHeight="1">
      <c r="A54" s="32" t="s">
        <v>31</v>
      </c>
      <c r="B54" s="32"/>
      <c r="C54" s="32"/>
      <c r="D54" s="32"/>
      <c r="E54" s="32"/>
      <c r="F54" s="32"/>
      <c r="G54" s="32"/>
      <c r="H54" s="32"/>
      <c r="I54" s="32"/>
      <c r="J54" s="32"/>
      <c r="K54" s="24"/>
      <c r="L54" s="29"/>
      <c r="M54" s="29"/>
      <c r="N54" s="29"/>
      <c r="O54" s="29"/>
      <c r="P54" s="29"/>
      <c r="Q54" s="29"/>
      <c r="R54" s="29"/>
    </row>
    <row r="55" spans="1:18">
      <c r="A55" s="29"/>
      <c r="B55" s="29"/>
      <c r="C55" s="29"/>
      <c r="D55" s="29"/>
      <c r="E55" s="29"/>
      <c r="F55" s="29"/>
      <c r="G55" s="29"/>
      <c r="H55" s="29"/>
      <c r="I55" s="29"/>
      <c r="J55" s="29"/>
      <c r="K55" s="24"/>
      <c r="L55" s="29"/>
      <c r="M55" s="29"/>
      <c r="N55" s="29"/>
      <c r="O55" s="29"/>
      <c r="P55" s="29"/>
      <c r="Q55" s="29"/>
      <c r="R55" s="29"/>
    </row>
  </sheetData>
  <mergeCells count="53">
    <mergeCell ref="A6:Q6"/>
    <mergeCell ref="L49:Q49"/>
    <mergeCell ref="A45:Q45"/>
    <mergeCell ref="P23:P24"/>
    <mergeCell ref="P25:P26"/>
    <mergeCell ref="Q23:Q24"/>
    <mergeCell ref="P16:P17"/>
    <mergeCell ref="L8:M8"/>
    <mergeCell ref="H8:K8"/>
    <mergeCell ref="B8:G8"/>
    <mergeCell ref="B9:Q9"/>
    <mergeCell ref="L47:Q47"/>
    <mergeCell ref="Q25:Q26"/>
    <mergeCell ref="P21:P22"/>
    <mergeCell ref="A29:P29"/>
    <mergeCell ref="Q21:Q22"/>
    <mergeCell ref="B10:Q10"/>
    <mergeCell ref="B11:Q11"/>
    <mergeCell ref="A31:I31"/>
    <mergeCell ref="A33:I33"/>
    <mergeCell ref="N28:P28"/>
    <mergeCell ref="A13:J13"/>
    <mergeCell ref="A16:J17"/>
    <mergeCell ref="A19:J20"/>
    <mergeCell ref="A21:J22"/>
    <mergeCell ref="A23:J24"/>
    <mergeCell ref="A25:J26"/>
    <mergeCell ref="A28:J28"/>
    <mergeCell ref="L14:Q14"/>
    <mergeCell ref="Q16:Q17"/>
    <mergeCell ref="Q19:Q20"/>
    <mergeCell ref="L16:M16"/>
    <mergeCell ref="L17:M17"/>
    <mergeCell ref="L19:M19"/>
    <mergeCell ref="L20:M20"/>
    <mergeCell ref="L15:Q15"/>
    <mergeCell ref="L18:Q18"/>
    <mergeCell ref="N8:Q8"/>
    <mergeCell ref="L28:M28"/>
    <mergeCell ref="N13:O13"/>
    <mergeCell ref="N16:O17"/>
    <mergeCell ref="N19:O20"/>
    <mergeCell ref="N21:O22"/>
    <mergeCell ref="N23:O24"/>
    <mergeCell ref="N25:O26"/>
    <mergeCell ref="L21:M21"/>
    <mergeCell ref="L22:M22"/>
    <mergeCell ref="L23:M23"/>
    <mergeCell ref="L24:M24"/>
    <mergeCell ref="L25:M25"/>
    <mergeCell ref="L26:M26"/>
    <mergeCell ref="P19:P20"/>
    <mergeCell ref="L13:M13"/>
  </mergeCells>
  <phoneticPr fontId="0" type="noConversion"/>
  <conditionalFormatting sqref="L28">
    <cfRule type="expression" dxfId="1" priority="3" stopIfTrue="1">
      <formula>$L$28=100%</formula>
    </cfRule>
  </conditionalFormatting>
  <conditionalFormatting sqref="L8">
    <cfRule type="expression" dxfId="0" priority="1" stopIfTrue="1">
      <formula>"k8=""Confidentiell"""</formula>
    </cfRule>
  </conditionalFormatting>
  <dataValidations count="1">
    <dataValidation type="list" allowBlank="1" showInputMessage="1" showErrorMessage="1" sqref="H8" xr:uid="{00000000-0002-0000-0000-000001000000}">
      <formula1>#REF!</formula1>
    </dataValidation>
  </dataValidations>
  <printOptions horizontalCentered="1"/>
  <pageMargins left="0.23622047244094491" right="0.23622047244094491" top="0.39370078740157483" bottom="0.39370078740157483" header="0.15748031496062992" footer="0.27559055118110237"/>
  <pageSetup paperSize="9" scale="74" orientation="portrait" r:id="rId1"/>
  <headerFooter alignWithMargins="0">
    <oddFooter>&amp;R&amp;6&amp;Z&amp;F</oddFooter>
  </headerFooter>
  <rowBreaks count="1" manualBreakCount="1">
    <brk id="55" max="16383" man="1"/>
  </rowBreaks>
  <drawing r:id="rId2"/>
  <extLst>
    <ext xmlns:mx="http://schemas.microsoft.com/office/mac/excel/2008/main" uri="{64002731-A6B0-56B0-2670-7721B7C09600}">
      <mx:PLV Mode="1" OnePage="0" WScale="81"/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EED8D518EA84A42BDB28A1F254FE139" ma:contentTypeVersion="12" ma:contentTypeDescription="Create a new document." ma:contentTypeScope="" ma:versionID="690595036103dd052994b0652fa1315d">
  <xsd:schema xmlns:xsd="http://www.w3.org/2001/XMLSchema" xmlns:xs="http://www.w3.org/2001/XMLSchema" xmlns:p="http://schemas.microsoft.com/office/2006/metadata/properties" xmlns:ns2="26d2a9ba-c7a2-4f3f-bee9-a767f7fe4cd1" xmlns:ns3="f655beec-b508-47ae-9326-fcad137bd2bd" targetNamespace="http://schemas.microsoft.com/office/2006/metadata/properties" ma:root="true" ma:fieldsID="fe5e171de0e5d1ae2aee5604a56be5b3" ns2:_="" ns3:_="">
    <xsd:import namespace="26d2a9ba-c7a2-4f3f-bee9-a767f7fe4cd1"/>
    <xsd:import namespace="f655beec-b508-47ae-9326-fcad137bd2b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d2a9ba-c7a2-4f3f-bee9-a767f7fe4cd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5965820-1b97-4994-ad5a-2b1f2cea3fc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55beec-b508-47ae-9326-fcad137bd2bd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fc7fcb90-d3f6-4acf-aa94-48bcf14c6558}" ma:internalName="TaxCatchAll" ma:showField="CatchAllData" ma:web="f655beec-b508-47ae-9326-fcad137bd2b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655beec-b508-47ae-9326-fcad137bd2bd" xsi:nil="true"/>
    <lcf76f155ced4ddcb4097134ff3c332f xmlns="26d2a9ba-c7a2-4f3f-bee9-a767f7fe4cd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0CBBC79-BCE4-4CC5-945B-BB5C15A4A357}"/>
</file>

<file path=customXml/itemProps2.xml><?xml version="1.0" encoding="utf-8"?>
<ds:datastoreItem xmlns:ds="http://schemas.openxmlformats.org/officeDocument/2006/customXml" ds:itemID="{40F5DB0E-D760-440C-BB26-0C5B51A10B91}"/>
</file>

<file path=customXml/itemProps3.xml><?xml version="1.0" encoding="utf-8"?>
<ds:datastoreItem xmlns:ds="http://schemas.openxmlformats.org/officeDocument/2006/customXml" ds:itemID="{EB117DFA-B918-4FED-85BF-80CC10C2D1B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EIVD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mepars</dc:creator>
  <cp:keywords/>
  <dc:description/>
  <cp:lastModifiedBy>Faria Dos Santos Dani Tiago</cp:lastModifiedBy>
  <cp:revision/>
  <dcterms:created xsi:type="dcterms:W3CDTF">2004-02-03T07:03:09Z</dcterms:created>
  <dcterms:modified xsi:type="dcterms:W3CDTF">2026-02-20T10:49:27Z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0x0101007EED8D518EA84A42BDB28A1F254FE139</vt:lpwstr>
  </property>
  <property fmtid="{D5CDD505-2E9C-101B-9397-08002B2CF9AE}" pid="3" name="MediaServiceImageTags">
    <vt:lpwstr/>
  </property>
</Properties>
</file>